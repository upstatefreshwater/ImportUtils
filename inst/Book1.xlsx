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G2" i="1"/>
  <c r="F2" i="1"/>
</calcChain>
</file>

<file path=xl/sharedStrings.xml><?xml version="1.0" encoding="utf-8"?>
<sst xmlns="http://schemas.openxmlformats.org/spreadsheetml/2006/main" count="15" uniqueCount="15">
  <si>
    <t>Parameter</t>
  </si>
  <si>
    <t>0916_LT1_Range</t>
  </si>
  <si>
    <t>0903_LW1_Range</t>
  </si>
  <si>
    <t>1007_QL1_Range</t>
  </si>
  <si>
    <t>Temp</t>
  </si>
  <si>
    <t>DO</t>
  </si>
  <si>
    <t>pH</t>
  </si>
  <si>
    <t>SpC</t>
  </si>
  <si>
    <t>Chla</t>
  </si>
  <si>
    <t>BGA</t>
  </si>
  <si>
    <t>Turb</t>
  </si>
  <si>
    <t>ORP</t>
  </si>
  <si>
    <t>mean</t>
  </si>
  <si>
    <t>sd</t>
  </si>
  <si>
    <t>mean+sd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</si>
</sst>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H2" sqref="H2:H9"/>
    </sheetView>
  </sheetViews>
  <sheetFormatPr defaultRowHeight="15" x14ac:dyDescent="0.25"/>
  <cols>
    <col min="1" max="1" width="10.28515625" bestFit="1" customWidth="1"/>
    <col min="2" max="2" width="15.42578125" bestFit="1" customWidth="1"/>
    <col min="3" max="3" width="16.28515625" bestFit="1" customWidth="1"/>
    <col min="4" max="4" width="15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F1" t="s">
        <v>12</v>
      </c>
      <c r="G1" t="s">
        <v>13</v>
      </c>
      <c r="H1" t="s">
        <v>14</v>
      </c>
    </row>
    <row r="2" spans="1:8" x14ac:dyDescent="0.25">
      <c r="A2" t="s">
        <v>4</v>
      </c>
      <c r="B2">
        <v>0.01</v>
      </c>
      <c r="C2">
        <v>0.2</v>
      </c>
      <c r="D2">
        <v>0.06</v>
      </c>
      <c r="F2" s="1">
        <f>AVERAGE(B2:D2)</f>
        <v>9.0000000000000011E-2</v>
      </c>
      <c r="G2" s="1">
        <f>_xlfn.STDEV.P(B2:D2)</f>
        <v>8.0415587212098807E-2</v>
      </c>
      <c r="H2" s="1">
        <f>SUM(F2:G2)</f>
        <v>0.17041558721209882</v>
      </c>
    </row>
    <row r="3" spans="1:8" x14ac:dyDescent="0.25">
      <c r="A3" t="s">
        <v>5</v>
      </c>
      <c r="B3">
        <v>0.02</v>
      </c>
      <c r="C3">
        <v>0.2</v>
      </c>
      <c r="D3">
        <v>0.3</v>
      </c>
      <c r="F3" s="1">
        <f t="shared" ref="F3:F9" si="0">AVERAGE(B3:D3)</f>
        <v>0.17333333333333334</v>
      </c>
      <c r="G3" s="1">
        <f t="shared" ref="G3:G9" si="1">_xlfn.STDEV.P(B3:D3)</f>
        <v>0.11585431464655178</v>
      </c>
      <c r="H3" s="1">
        <f t="shared" ref="H3:H9" si="2">SUM(F3:G3)</f>
        <v>0.28918764797988511</v>
      </c>
    </row>
    <row r="4" spans="1:8" x14ac:dyDescent="0.25">
      <c r="A4" t="s">
        <v>6</v>
      </c>
      <c r="B4">
        <v>0.01</v>
      </c>
      <c r="C4">
        <v>0.05</v>
      </c>
      <c r="D4">
        <v>0.01</v>
      </c>
      <c r="F4" s="1">
        <f t="shared" si="0"/>
        <v>2.3333333333333334E-2</v>
      </c>
      <c r="G4" s="1">
        <f t="shared" si="1"/>
        <v>1.8856180831641263E-2</v>
      </c>
      <c r="H4" s="1">
        <f t="shared" si="2"/>
        <v>4.2189514164974601E-2</v>
      </c>
    </row>
    <row r="5" spans="1:8" x14ac:dyDescent="0.25">
      <c r="A5" t="s">
        <v>7</v>
      </c>
      <c r="B5">
        <v>0.05</v>
      </c>
      <c r="C5">
        <v>2.5</v>
      </c>
      <c r="D5">
        <v>0.2</v>
      </c>
      <c r="F5" s="1">
        <f t="shared" si="0"/>
        <v>0.91666666666666663</v>
      </c>
      <c r="G5" s="1">
        <f t="shared" si="1"/>
        <v>1.1212592127702776</v>
      </c>
      <c r="H5" s="1">
        <f t="shared" si="2"/>
        <v>2.0379258794369441</v>
      </c>
    </row>
    <row r="6" spans="1:8" x14ac:dyDescent="0.25">
      <c r="A6" t="s">
        <v>8</v>
      </c>
      <c r="B6">
        <v>3.0000000000000001E-3</v>
      </c>
      <c r="C6">
        <v>0.3</v>
      </c>
      <c r="D6">
        <v>0.03</v>
      </c>
      <c r="F6" s="1">
        <f t="shared" si="0"/>
        <v>0.11099999999999999</v>
      </c>
      <c r="G6" s="1">
        <f t="shared" si="1"/>
        <v>0.13409697983176205</v>
      </c>
      <c r="H6" s="1">
        <f t="shared" si="2"/>
        <v>0.24509697983176204</v>
      </c>
    </row>
    <row r="7" spans="1:8" x14ac:dyDescent="0.25">
      <c r="A7" t="s">
        <v>9</v>
      </c>
      <c r="B7">
        <v>4.0000000000000001E-3</v>
      </c>
      <c r="C7">
        <v>0.4</v>
      </c>
      <c r="D7">
        <v>1E-3</v>
      </c>
      <c r="F7" s="1">
        <f t="shared" si="0"/>
        <v>0.13500000000000001</v>
      </c>
      <c r="G7" s="1">
        <f t="shared" si="1"/>
        <v>0.18738729946290386</v>
      </c>
      <c r="H7" s="1">
        <f t="shared" si="2"/>
        <v>0.3223872994629039</v>
      </c>
    </row>
    <row r="8" spans="1:8" x14ac:dyDescent="0.25">
      <c r="A8" t="s">
        <v>10</v>
      </c>
      <c r="B8">
        <v>0.02</v>
      </c>
      <c r="C8">
        <v>1.4</v>
      </c>
      <c r="D8">
        <v>0.8</v>
      </c>
      <c r="F8" s="1">
        <f t="shared" si="0"/>
        <v>0.73999999999999988</v>
      </c>
      <c r="G8" s="1">
        <f t="shared" si="1"/>
        <v>0.56497787567302138</v>
      </c>
      <c r="H8" s="1">
        <f t="shared" si="2"/>
        <v>1.3049778756730213</v>
      </c>
    </row>
    <row r="9" spans="1:8" x14ac:dyDescent="0.25">
      <c r="A9" t="s">
        <v>11</v>
      </c>
      <c r="B9">
        <v>9</v>
      </c>
      <c r="C9">
        <v>10</v>
      </c>
      <c r="D9">
        <v>2.1</v>
      </c>
      <c r="F9" s="1">
        <f t="shared" si="0"/>
        <v>7.0333333333333341</v>
      </c>
      <c r="G9" s="1">
        <f t="shared" si="1"/>
        <v>3.5122009560324923</v>
      </c>
      <c r="H9" s="1">
        <f t="shared" si="2"/>
        <v>10.545534289365825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Andrews</dc:creator>
  <cp:lastModifiedBy>David Andrews</cp:lastModifiedBy>
  <dcterms:created xsi:type="dcterms:W3CDTF">2026-03-13T16:44:24Z</dcterms:created>
  <dcterms:modified xsi:type="dcterms:W3CDTF">2026-03-14T14:29:45Z</dcterms:modified>
</cp:coreProperties>
</file>